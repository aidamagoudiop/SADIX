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moud\Desktop\SADIX\Travaux\"/>
    </mc:Choice>
  </mc:AlternateContent>
  <xr:revisionPtr revIDLastSave="0" documentId="13_ncr:1_{16DEEC59-A605-4CDE-81F3-16F048B61B8C}" xr6:coauthVersionLast="47" xr6:coauthVersionMax="47" xr10:uidLastSave="{00000000-0000-0000-0000-000000000000}"/>
  <bookViews>
    <workbookView xWindow="-110" yWindow="-110" windowWidth="19420" windowHeight="10300" xr2:uid="{FF22397C-2D28-4B92-8156-59040ADA4C6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2" i="1"/>
  <c r="K1" i="1"/>
  <c r="J2" i="1"/>
  <c r="J10" i="1"/>
  <c r="J9" i="1"/>
  <c r="J8" i="1"/>
  <c r="J7" i="1"/>
  <c r="J6" i="1"/>
  <c r="J5" i="1"/>
  <c r="J4" i="1"/>
  <c r="J3" i="1"/>
  <c r="I1" i="1" a="1"/>
  <c r="I1" i="1" s="1"/>
  <c r="J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<sst xmlns="http://schemas.openxmlformats.org/spreadsheetml/2006/main" count="196" uniqueCount="30">
  <si>
    <t>Matricule</t>
  </si>
  <si>
    <t>Prénom</t>
  </si>
  <si>
    <t>Nom</t>
  </si>
  <si>
    <t>Retenue coopérative d'habitat</t>
  </si>
  <si>
    <t>Retenue cotisation coopérative</t>
  </si>
  <si>
    <t>Mois</t>
  </si>
  <si>
    <t>ERB052</t>
  </si>
  <si>
    <t>AMETH</t>
  </si>
  <si>
    <t>NDIAYE</t>
  </si>
  <si>
    <t>ERB056</t>
  </si>
  <si>
    <t>MARIEME</t>
  </si>
  <si>
    <t>SY</t>
  </si>
  <si>
    <t>ERB057</t>
  </si>
  <si>
    <t>ABDOUL AMADOU</t>
  </si>
  <si>
    <t>ERB070</t>
  </si>
  <si>
    <t>BINTA</t>
  </si>
  <si>
    <t>DIALLO</t>
  </si>
  <si>
    <t>ERC033</t>
  </si>
  <si>
    <t>THIERNO MAMADOU D</t>
  </si>
  <si>
    <t>ERC045</t>
  </si>
  <si>
    <t>BOCAR</t>
  </si>
  <si>
    <t>DRAME</t>
  </si>
  <si>
    <t>ERC048</t>
  </si>
  <si>
    <t>SEYDINA DJIBY</t>
  </si>
  <si>
    <t>ERC058</t>
  </si>
  <si>
    <t>FATOU</t>
  </si>
  <si>
    <t>ERHC104</t>
  </si>
  <si>
    <t>DIOUMA</t>
  </si>
  <si>
    <t>KOBOR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</si>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</sst>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EDEC6-862F-4162-8257-35228AE900B9}">
  <dimension ref="A1:K65"/>
  <sheetViews>
    <sheetView tabSelected="1" topLeftCell="D1" workbookViewId="0">
      <selection activeCell="G13" sqref="G13"/>
    </sheetView>
  </sheetViews>
  <sheetFormatPr baseColWidth="10" defaultRowHeight="14.5" x14ac:dyDescent="0.35"/>
  <cols>
    <col min="1" max="1" width="8.7265625" bestFit="1" customWidth="1"/>
    <col min="4" max="4" width="32.7265625" customWidth="1"/>
    <col min="5" max="5" width="36.26953125" customWidth="1"/>
    <col min="10" max="10" width="26.1796875" bestFit="1" customWidth="1"/>
    <col min="11" max="11" width="26.8164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t="str" cm="1">
        <f t="array" ref="I1:I12">_xlfn.UNIQUE(A:A)</f>
        <v>Matricule</v>
      </c>
      <c r="J1" t="str">
        <f>D1</f>
        <v>Retenue coopérative d'habitat</v>
      </c>
      <c r="K1" t="str">
        <f>E1</f>
        <v>Retenue cotisation coopérative</v>
      </c>
    </row>
    <row r="2" spans="1:11" x14ac:dyDescent="0.35">
      <c r="A2" t="s">
        <v>6</v>
      </c>
      <c r="B2" t="s">
        <v>7</v>
      </c>
      <c r="C2" t="s">
        <v>8</v>
      </c>
      <c r="D2">
        <v>25000</v>
      </c>
      <c r="E2">
        <v>0</v>
      </c>
      <c r="F2">
        <v>1</v>
      </c>
      <c r="I2" t="str">
        <v>ERB052</v>
      </c>
      <c r="J2">
        <f>SUMIFS(D:D,A:A,A2)</f>
        <v>175000</v>
      </c>
      <c r="K2">
        <f>SUMIFS(E:E,A:A,I2)</f>
        <v>0</v>
      </c>
    </row>
    <row r="3" spans="1:11" x14ac:dyDescent="0.35">
      <c r="A3" t="s">
        <v>6</v>
      </c>
      <c r="B3" t="s">
        <v>7</v>
      </c>
      <c r="C3" t="s">
        <v>8</v>
      </c>
      <c r="D3">
        <v>25000</v>
      </c>
      <c r="E3">
        <v>0</v>
      </c>
      <c r="F3">
        <v>2</v>
      </c>
      <c r="I3" t="str">
        <v>ERB056</v>
      </c>
      <c r="J3">
        <f>SUMIFS(D:D,A:A,A9)</f>
        <v>175000</v>
      </c>
      <c r="K3">
        <f t="shared" ref="K3:K10" si="0">SUMIFS(E:E,A:A,I3)</f>
        <v>0</v>
      </c>
    </row>
    <row r="4" spans="1:11" x14ac:dyDescent="0.35">
      <c r="A4" t="s">
        <v>6</v>
      </c>
      <c r="B4" t="s">
        <v>7</v>
      </c>
      <c r="C4" t="s">
        <v>8</v>
      </c>
      <c r="D4">
        <v>25000</v>
      </c>
      <c r="E4">
        <v>0</v>
      </c>
      <c r="F4">
        <v>3</v>
      </c>
      <c r="I4" t="str">
        <v>ERB057</v>
      </c>
      <c r="J4">
        <f>SUMIFS(D:D,A:A,A16)</f>
        <v>140000</v>
      </c>
      <c r="K4">
        <f t="shared" si="0"/>
        <v>0</v>
      </c>
    </row>
    <row r="5" spans="1:11" x14ac:dyDescent="0.35">
      <c r="A5" t="s">
        <v>6</v>
      </c>
      <c r="B5" t="s">
        <v>7</v>
      </c>
      <c r="C5" t="s">
        <v>8</v>
      </c>
      <c r="D5">
        <v>25000</v>
      </c>
      <c r="E5">
        <v>0</v>
      </c>
      <c r="F5">
        <v>4</v>
      </c>
      <c r="I5" t="str">
        <v>ERB070</v>
      </c>
      <c r="J5">
        <f>SUMIFS(D:D,A:A,A23)</f>
        <v>175000</v>
      </c>
      <c r="K5">
        <f t="shared" si="0"/>
        <v>0</v>
      </c>
    </row>
    <row r="6" spans="1:11" x14ac:dyDescent="0.35">
      <c r="A6" t="s">
        <v>6</v>
      </c>
      <c r="B6" t="s">
        <v>7</v>
      </c>
      <c r="C6" t="s">
        <v>8</v>
      </c>
      <c r="D6">
        <v>25000</v>
      </c>
      <c r="E6">
        <v>0</v>
      </c>
      <c r="F6">
        <v>5</v>
      </c>
      <c r="I6" t="str">
        <v>ERC033</v>
      </c>
      <c r="J6">
        <f>SUMIFS(D:D,A:A,A30)</f>
        <v>73500</v>
      </c>
      <c r="K6">
        <f t="shared" si="0"/>
        <v>0</v>
      </c>
    </row>
    <row r="7" spans="1:11" x14ac:dyDescent="0.35">
      <c r="A7" t="s">
        <v>6</v>
      </c>
      <c r="B7" t="s">
        <v>7</v>
      </c>
      <c r="C7" t="s">
        <v>8</v>
      </c>
      <c r="D7">
        <v>25000</v>
      </c>
      <c r="E7">
        <v>0</v>
      </c>
      <c r="F7">
        <v>6</v>
      </c>
      <c r="I7" t="str">
        <v>ERC045</v>
      </c>
      <c r="J7">
        <f>SUMIFS(D:D,A:A,A38)</f>
        <v>73500</v>
      </c>
      <c r="K7">
        <f t="shared" si="0"/>
        <v>0</v>
      </c>
    </row>
    <row r="8" spans="1:11" x14ac:dyDescent="0.35">
      <c r="A8" t="s">
        <v>6</v>
      </c>
      <c r="B8" t="s">
        <v>7</v>
      </c>
      <c r="C8" t="s">
        <v>8</v>
      </c>
      <c r="D8">
        <v>25000</v>
      </c>
      <c r="E8">
        <v>0</v>
      </c>
      <c r="F8">
        <v>7</v>
      </c>
      <c r="I8" t="str">
        <v>ERC048</v>
      </c>
      <c r="J8">
        <f>SUMIFS(D:D,A:A,A45)</f>
        <v>73500</v>
      </c>
      <c r="K8">
        <f t="shared" si="0"/>
        <v>0</v>
      </c>
    </row>
    <row r="9" spans="1:11" x14ac:dyDescent="0.35">
      <c r="A9" t="s">
        <v>9</v>
      </c>
      <c r="B9" t="s">
        <v>10</v>
      </c>
      <c r="C9" t="s">
        <v>11</v>
      </c>
      <c r="D9">
        <v>25000</v>
      </c>
      <c r="E9">
        <v>0</v>
      </c>
      <c r="F9">
        <v>1</v>
      </c>
      <c r="I9" t="str">
        <v>ERC058</v>
      </c>
      <c r="J9">
        <f>SUMIFS(D:D,A:A,A56)</f>
        <v>73500</v>
      </c>
      <c r="K9">
        <f t="shared" si="0"/>
        <v>0</v>
      </c>
    </row>
    <row r="10" spans="1:11" x14ac:dyDescent="0.35">
      <c r="A10" t="s">
        <v>9</v>
      </c>
      <c r="B10" t="s">
        <v>10</v>
      </c>
      <c r="C10" t="s">
        <v>11</v>
      </c>
      <c r="D10">
        <v>25000</v>
      </c>
      <c r="E10">
        <v>0</v>
      </c>
      <c r="F10">
        <v>2</v>
      </c>
      <c r="I10" t="str">
        <v>ERHC104</v>
      </c>
      <c r="J10">
        <f>SUMIFS(D:D,A:A,A63)</f>
        <v>0</v>
      </c>
      <c r="K10">
        <f t="shared" si="0"/>
        <v>350000</v>
      </c>
    </row>
    <row r="11" spans="1:11" x14ac:dyDescent="0.35">
      <c r="A11" t="s">
        <v>9</v>
      </c>
      <c r="B11" t="s">
        <v>10</v>
      </c>
      <c r="C11" t="s">
        <v>11</v>
      </c>
      <c r="D11">
        <v>25000</v>
      </c>
      <c r="E11">
        <v>0</v>
      </c>
      <c r="F11">
        <v>3</v>
      </c>
      <c r="I11" t="str">
        <v>TOTAL</v>
      </c>
    </row>
    <row r="12" spans="1:11" x14ac:dyDescent="0.35">
      <c r="A12" t="s">
        <v>9</v>
      </c>
      <c r="B12" t="s">
        <v>10</v>
      </c>
      <c r="C12" t="s">
        <v>11</v>
      </c>
      <c r="D12">
        <v>25000</v>
      </c>
      <c r="E12">
        <v>0</v>
      </c>
      <c r="F12">
        <v>4</v>
      </c>
      <c r="I12">
        <v>0</v>
      </c>
    </row>
    <row r="13" spans="1:11" x14ac:dyDescent="0.35">
      <c r="A13" t="s">
        <v>9</v>
      </c>
      <c r="B13" t="s">
        <v>10</v>
      </c>
      <c r="C13" t="s">
        <v>11</v>
      </c>
      <c r="D13">
        <v>25000</v>
      </c>
      <c r="E13">
        <v>0</v>
      </c>
      <c r="F13">
        <v>5</v>
      </c>
    </row>
    <row r="14" spans="1:11" x14ac:dyDescent="0.35">
      <c r="A14" t="s">
        <v>9</v>
      </c>
      <c r="B14" t="s">
        <v>10</v>
      </c>
      <c r="C14" t="s">
        <v>11</v>
      </c>
      <c r="D14">
        <v>25000</v>
      </c>
      <c r="E14">
        <v>0</v>
      </c>
      <c r="F14">
        <v>6</v>
      </c>
    </row>
    <row r="15" spans="1:11" x14ac:dyDescent="0.35">
      <c r="A15" t="s">
        <v>9</v>
      </c>
      <c r="B15" t="s">
        <v>10</v>
      </c>
      <c r="C15" t="s">
        <v>11</v>
      </c>
      <c r="D15">
        <v>25000</v>
      </c>
      <c r="E15">
        <v>0</v>
      </c>
      <c r="F15">
        <v>7</v>
      </c>
    </row>
    <row r="16" spans="1:11" x14ac:dyDescent="0.35">
      <c r="A16" t="s">
        <v>12</v>
      </c>
      <c r="B16" t="s">
        <v>13</v>
      </c>
      <c r="C16" t="s">
        <v>8</v>
      </c>
      <c r="D16">
        <v>20000</v>
      </c>
      <c r="E16">
        <v>0</v>
      </c>
      <c r="F16">
        <v>1</v>
      </c>
    </row>
    <row r="17" spans="1:6" x14ac:dyDescent="0.35">
      <c r="A17" t="s">
        <v>12</v>
      </c>
      <c r="B17" t="s">
        <v>13</v>
      </c>
      <c r="C17" t="s">
        <v>8</v>
      </c>
      <c r="D17">
        <v>20000</v>
      </c>
      <c r="E17">
        <v>0</v>
      </c>
      <c r="F17">
        <v>2</v>
      </c>
    </row>
    <row r="18" spans="1:6" x14ac:dyDescent="0.35">
      <c r="A18" t="s">
        <v>12</v>
      </c>
      <c r="B18" t="s">
        <v>13</v>
      </c>
      <c r="C18" t="s">
        <v>8</v>
      </c>
      <c r="D18">
        <v>20000</v>
      </c>
      <c r="E18">
        <v>0</v>
      </c>
      <c r="F18">
        <v>3</v>
      </c>
    </row>
    <row r="19" spans="1:6" x14ac:dyDescent="0.35">
      <c r="A19" t="s">
        <v>12</v>
      </c>
      <c r="B19" t="s">
        <v>13</v>
      </c>
      <c r="C19" t="s">
        <v>8</v>
      </c>
      <c r="D19">
        <v>20000</v>
      </c>
      <c r="E19">
        <v>0</v>
      </c>
      <c r="F19">
        <v>4</v>
      </c>
    </row>
    <row r="20" spans="1:6" x14ac:dyDescent="0.35">
      <c r="A20" t="s">
        <v>12</v>
      </c>
      <c r="B20" t="s">
        <v>13</v>
      </c>
      <c r="C20" t="s">
        <v>8</v>
      </c>
      <c r="D20">
        <v>20000</v>
      </c>
      <c r="E20">
        <v>0</v>
      </c>
      <c r="F20">
        <v>5</v>
      </c>
    </row>
    <row r="21" spans="1:6" x14ac:dyDescent="0.35">
      <c r="A21" t="s">
        <v>12</v>
      </c>
      <c r="B21" t="s">
        <v>13</v>
      </c>
      <c r="C21" t="s">
        <v>8</v>
      </c>
      <c r="D21">
        <v>20000</v>
      </c>
      <c r="E21">
        <v>0</v>
      </c>
      <c r="F21">
        <v>6</v>
      </c>
    </row>
    <row r="22" spans="1:6" x14ac:dyDescent="0.35">
      <c r="A22" t="s">
        <v>12</v>
      </c>
      <c r="B22" t="s">
        <v>13</v>
      </c>
      <c r="C22" t="s">
        <v>8</v>
      </c>
      <c r="D22">
        <v>20000</v>
      </c>
      <c r="E22">
        <v>0</v>
      </c>
      <c r="F22">
        <v>7</v>
      </c>
    </row>
    <row r="23" spans="1:6" x14ac:dyDescent="0.35">
      <c r="A23" t="s">
        <v>14</v>
      </c>
      <c r="B23" t="s">
        <v>15</v>
      </c>
      <c r="C23" t="s">
        <v>16</v>
      </c>
      <c r="D23">
        <v>25000</v>
      </c>
      <c r="E23">
        <v>0</v>
      </c>
      <c r="F23">
        <v>1</v>
      </c>
    </row>
    <row r="24" spans="1:6" x14ac:dyDescent="0.35">
      <c r="A24" t="s">
        <v>14</v>
      </c>
      <c r="B24" t="s">
        <v>15</v>
      </c>
      <c r="C24" t="s">
        <v>16</v>
      </c>
      <c r="D24">
        <v>25000</v>
      </c>
      <c r="E24">
        <v>0</v>
      </c>
      <c r="F24">
        <v>2</v>
      </c>
    </row>
    <row r="25" spans="1:6" x14ac:dyDescent="0.35">
      <c r="A25" t="s">
        <v>14</v>
      </c>
      <c r="B25" t="s">
        <v>15</v>
      </c>
      <c r="C25" t="s">
        <v>16</v>
      </c>
      <c r="D25">
        <v>25000</v>
      </c>
      <c r="E25">
        <v>0</v>
      </c>
      <c r="F25">
        <v>3</v>
      </c>
    </row>
    <row r="26" spans="1:6" x14ac:dyDescent="0.35">
      <c r="A26" t="s">
        <v>14</v>
      </c>
      <c r="B26" t="s">
        <v>15</v>
      </c>
      <c r="C26" t="s">
        <v>16</v>
      </c>
      <c r="D26">
        <v>25000</v>
      </c>
      <c r="E26">
        <v>0</v>
      </c>
      <c r="F26">
        <v>4</v>
      </c>
    </row>
    <row r="27" spans="1:6" x14ac:dyDescent="0.35">
      <c r="A27" t="s">
        <v>14</v>
      </c>
      <c r="B27" t="s">
        <v>15</v>
      </c>
      <c r="C27" t="s">
        <v>16</v>
      </c>
      <c r="D27">
        <v>25000</v>
      </c>
      <c r="E27">
        <v>0</v>
      </c>
      <c r="F27">
        <v>5</v>
      </c>
    </row>
    <row r="28" spans="1:6" x14ac:dyDescent="0.35">
      <c r="A28" t="s">
        <v>14</v>
      </c>
      <c r="B28" t="s">
        <v>15</v>
      </c>
      <c r="C28" t="s">
        <v>16</v>
      </c>
      <c r="D28">
        <v>25000</v>
      </c>
      <c r="E28">
        <v>0</v>
      </c>
      <c r="F28">
        <v>6</v>
      </c>
    </row>
    <row r="29" spans="1:6" x14ac:dyDescent="0.35">
      <c r="A29" t="s">
        <v>14</v>
      </c>
      <c r="B29" t="s">
        <v>15</v>
      </c>
      <c r="C29" t="s">
        <v>16</v>
      </c>
      <c r="D29">
        <v>25000</v>
      </c>
      <c r="E29">
        <v>0</v>
      </c>
      <c r="F29">
        <v>7</v>
      </c>
    </row>
    <row r="30" spans="1:6" x14ac:dyDescent="0.35">
      <c r="A30" t="s">
        <v>17</v>
      </c>
      <c r="B30" t="s">
        <v>18</v>
      </c>
      <c r="C30" t="s">
        <v>16</v>
      </c>
      <c r="D30">
        <v>10500</v>
      </c>
      <c r="E30">
        <v>0</v>
      </c>
      <c r="F30">
        <v>1</v>
      </c>
    </row>
    <row r="31" spans="1:6" x14ac:dyDescent="0.35">
      <c r="A31" t="s">
        <v>17</v>
      </c>
      <c r="B31" t="s">
        <v>18</v>
      </c>
      <c r="C31" t="s">
        <v>16</v>
      </c>
      <c r="D31">
        <v>10500</v>
      </c>
      <c r="E31">
        <v>0</v>
      </c>
      <c r="F31">
        <v>2</v>
      </c>
    </row>
    <row r="32" spans="1:6" x14ac:dyDescent="0.35">
      <c r="A32" t="s">
        <v>17</v>
      </c>
      <c r="B32" t="s">
        <v>18</v>
      </c>
      <c r="C32" t="s">
        <v>16</v>
      </c>
      <c r="D32">
        <v>10500</v>
      </c>
      <c r="E32">
        <v>0</v>
      </c>
      <c r="F32">
        <v>3</v>
      </c>
    </row>
    <row r="33" spans="1:6" x14ac:dyDescent="0.35">
      <c r="A33" t="s">
        <v>17</v>
      </c>
      <c r="B33" t="s">
        <v>18</v>
      </c>
      <c r="C33" t="s">
        <v>16</v>
      </c>
      <c r="D33">
        <v>10500</v>
      </c>
      <c r="E33">
        <v>0</v>
      </c>
      <c r="F33">
        <v>4</v>
      </c>
    </row>
    <row r="34" spans="1:6" x14ac:dyDescent="0.35">
      <c r="A34" t="s">
        <v>17</v>
      </c>
      <c r="B34" t="s">
        <v>18</v>
      </c>
      <c r="C34" t="s">
        <v>16</v>
      </c>
      <c r="D34">
        <v>10500</v>
      </c>
      <c r="E34">
        <v>0</v>
      </c>
      <c r="F34">
        <v>5</v>
      </c>
    </row>
    <row r="35" spans="1:6" x14ac:dyDescent="0.35">
      <c r="A35" t="s">
        <v>17</v>
      </c>
      <c r="B35" t="s">
        <v>18</v>
      </c>
      <c r="C35" t="s">
        <v>16</v>
      </c>
      <c r="D35">
        <v>10500</v>
      </c>
      <c r="E35">
        <v>0</v>
      </c>
      <c r="F35">
        <v>6</v>
      </c>
    </row>
    <row r="36" spans="1:6" x14ac:dyDescent="0.35">
      <c r="A36" t="s">
        <v>17</v>
      </c>
      <c r="B36" t="s">
        <v>18</v>
      </c>
      <c r="C36" t="s">
        <v>16</v>
      </c>
      <c r="D36">
        <v>10500</v>
      </c>
      <c r="E36">
        <v>0</v>
      </c>
      <c r="F36">
        <v>7</v>
      </c>
    </row>
    <row r="37" spans="1:6" x14ac:dyDescent="0.35">
      <c r="A37" t="s">
        <v>19</v>
      </c>
      <c r="B37" t="s">
        <v>20</v>
      </c>
      <c r="C37" t="s">
        <v>21</v>
      </c>
      <c r="D37">
        <v>10500</v>
      </c>
      <c r="E37">
        <v>0</v>
      </c>
      <c r="F37">
        <v>1</v>
      </c>
    </row>
    <row r="38" spans="1:6" x14ac:dyDescent="0.35">
      <c r="A38" t="s">
        <v>19</v>
      </c>
      <c r="B38" t="s">
        <v>20</v>
      </c>
      <c r="C38" t="s">
        <v>21</v>
      </c>
      <c r="D38">
        <v>10500</v>
      </c>
      <c r="E38">
        <v>0</v>
      </c>
      <c r="F38">
        <v>2</v>
      </c>
    </row>
    <row r="39" spans="1:6" x14ac:dyDescent="0.35">
      <c r="A39" t="s">
        <v>19</v>
      </c>
      <c r="B39" t="s">
        <v>20</v>
      </c>
      <c r="C39" t="s">
        <v>21</v>
      </c>
      <c r="D39">
        <v>10500</v>
      </c>
      <c r="E39">
        <v>0</v>
      </c>
      <c r="F39">
        <v>3</v>
      </c>
    </row>
    <row r="40" spans="1:6" x14ac:dyDescent="0.35">
      <c r="A40" t="s">
        <v>19</v>
      </c>
      <c r="B40" t="s">
        <v>20</v>
      </c>
      <c r="C40" t="s">
        <v>21</v>
      </c>
      <c r="D40">
        <v>10500</v>
      </c>
      <c r="E40">
        <v>0</v>
      </c>
      <c r="F40">
        <v>4</v>
      </c>
    </row>
    <row r="41" spans="1:6" x14ac:dyDescent="0.35">
      <c r="A41" t="s">
        <v>19</v>
      </c>
      <c r="B41" t="s">
        <v>20</v>
      </c>
      <c r="C41" t="s">
        <v>21</v>
      </c>
      <c r="D41">
        <v>10500</v>
      </c>
      <c r="E41">
        <v>0</v>
      </c>
      <c r="F41">
        <v>5</v>
      </c>
    </row>
    <row r="42" spans="1:6" x14ac:dyDescent="0.35">
      <c r="A42" t="s">
        <v>19</v>
      </c>
      <c r="B42" t="s">
        <v>20</v>
      </c>
      <c r="C42" t="s">
        <v>21</v>
      </c>
      <c r="D42">
        <v>10500</v>
      </c>
      <c r="E42">
        <v>0</v>
      </c>
      <c r="F42">
        <v>6</v>
      </c>
    </row>
    <row r="43" spans="1:6" x14ac:dyDescent="0.35">
      <c r="A43" t="s">
        <v>19</v>
      </c>
      <c r="B43" t="s">
        <v>20</v>
      </c>
      <c r="C43" t="s">
        <v>21</v>
      </c>
      <c r="D43">
        <v>10500</v>
      </c>
      <c r="E43">
        <v>0</v>
      </c>
      <c r="F43">
        <v>7</v>
      </c>
    </row>
    <row r="44" spans="1:6" x14ac:dyDescent="0.35">
      <c r="A44" t="s">
        <v>22</v>
      </c>
      <c r="B44" t="s">
        <v>23</v>
      </c>
      <c r="C44" t="s">
        <v>8</v>
      </c>
      <c r="D44">
        <v>10500</v>
      </c>
      <c r="E44">
        <v>0</v>
      </c>
      <c r="F44">
        <v>1</v>
      </c>
    </row>
    <row r="45" spans="1:6" x14ac:dyDescent="0.35">
      <c r="A45" t="s">
        <v>22</v>
      </c>
      <c r="B45" t="s">
        <v>23</v>
      </c>
      <c r="C45" t="s">
        <v>8</v>
      </c>
      <c r="D45">
        <v>10500</v>
      </c>
      <c r="E45">
        <v>0</v>
      </c>
      <c r="F45">
        <v>2</v>
      </c>
    </row>
    <row r="46" spans="1:6" x14ac:dyDescent="0.35">
      <c r="A46" t="s">
        <v>22</v>
      </c>
      <c r="B46" t="s">
        <v>23</v>
      </c>
      <c r="C46" t="s">
        <v>8</v>
      </c>
      <c r="D46">
        <v>10500</v>
      </c>
      <c r="E46">
        <v>0</v>
      </c>
      <c r="F46">
        <v>3</v>
      </c>
    </row>
    <row r="47" spans="1:6" x14ac:dyDescent="0.35">
      <c r="A47" t="s">
        <v>22</v>
      </c>
      <c r="B47" t="s">
        <v>23</v>
      </c>
      <c r="C47" t="s">
        <v>8</v>
      </c>
      <c r="D47">
        <v>10500</v>
      </c>
      <c r="E47">
        <v>0</v>
      </c>
      <c r="F47">
        <v>4</v>
      </c>
    </row>
    <row r="48" spans="1:6" x14ac:dyDescent="0.35">
      <c r="A48" t="s">
        <v>22</v>
      </c>
      <c r="B48" t="s">
        <v>23</v>
      </c>
      <c r="C48" t="s">
        <v>8</v>
      </c>
      <c r="D48">
        <v>10500</v>
      </c>
      <c r="E48">
        <v>0</v>
      </c>
      <c r="F48">
        <v>5</v>
      </c>
    </row>
    <row r="49" spans="1:6" x14ac:dyDescent="0.35">
      <c r="A49" t="s">
        <v>22</v>
      </c>
      <c r="B49" t="s">
        <v>23</v>
      </c>
      <c r="C49" t="s">
        <v>8</v>
      </c>
      <c r="D49">
        <v>10500</v>
      </c>
      <c r="E49">
        <v>0</v>
      </c>
      <c r="F49">
        <v>6</v>
      </c>
    </row>
    <row r="50" spans="1:6" x14ac:dyDescent="0.35">
      <c r="A50" t="s">
        <v>22</v>
      </c>
      <c r="B50" t="s">
        <v>23</v>
      </c>
      <c r="C50" t="s">
        <v>8</v>
      </c>
      <c r="D50">
        <v>10500</v>
      </c>
      <c r="E50">
        <v>0</v>
      </c>
      <c r="F50">
        <v>7</v>
      </c>
    </row>
    <row r="51" spans="1:6" x14ac:dyDescent="0.35">
      <c r="A51" t="s">
        <v>24</v>
      </c>
      <c r="B51" t="s">
        <v>25</v>
      </c>
      <c r="C51" t="s">
        <v>8</v>
      </c>
      <c r="D51">
        <v>10500</v>
      </c>
      <c r="E51">
        <v>0</v>
      </c>
      <c r="F51">
        <v>1</v>
      </c>
    </row>
    <row r="52" spans="1:6" x14ac:dyDescent="0.35">
      <c r="A52" t="s">
        <v>24</v>
      </c>
      <c r="B52" t="s">
        <v>25</v>
      </c>
      <c r="C52" t="s">
        <v>8</v>
      </c>
      <c r="D52">
        <v>10500</v>
      </c>
      <c r="E52">
        <v>0</v>
      </c>
      <c r="F52">
        <v>2</v>
      </c>
    </row>
    <row r="53" spans="1:6" x14ac:dyDescent="0.35">
      <c r="A53" t="s">
        <v>24</v>
      </c>
      <c r="B53" t="s">
        <v>25</v>
      </c>
      <c r="C53" t="s">
        <v>8</v>
      </c>
      <c r="D53">
        <v>10500</v>
      </c>
      <c r="E53">
        <v>0</v>
      </c>
      <c r="F53">
        <v>3</v>
      </c>
    </row>
    <row r="54" spans="1:6" x14ac:dyDescent="0.35">
      <c r="A54" t="s">
        <v>24</v>
      </c>
      <c r="B54" t="s">
        <v>25</v>
      </c>
      <c r="C54" t="s">
        <v>8</v>
      </c>
      <c r="D54">
        <v>10500</v>
      </c>
      <c r="E54">
        <v>0</v>
      </c>
      <c r="F54">
        <v>4</v>
      </c>
    </row>
    <row r="55" spans="1:6" x14ac:dyDescent="0.35">
      <c r="A55" t="s">
        <v>24</v>
      </c>
      <c r="B55" t="s">
        <v>25</v>
      </c>
      <c r="C55" t="s">
        <v>8</v>
      </c>
      <c r="D55">
        <v>10500</v>
      </c>
      <c r="E55">
        <v>0</v>
      </c>
      <c r="F55">
        <v>5</v>
      </c>
    </row>
    <row r="56" spans="1:6" x14ac:dyDescent="0.35">
      <c r="A56" t="s">
        <v>24</v>
      </c>
      <c r="B56" t="s">
        <v>25</v>
      </c>
      <c r="C56" t="s">
        <v>8</v>
      </c>
      <c r="D56">
        <v>10500</v>
      </c>
      <c r="E56">
        <v>0</v>
      </c>
      <c r="F56">
        <v>6</v>
      </c>
    </row>
    <row r="57" spans="1:6" x14ac:dyDescent="0.35">
      <c r="A57" t="s">
        <v>24</v>
      </c>
      <c r="B57" t="s">
        <v>25</v>
      </c>
      <c r="C57" t="s">
        <v>8</v>
      </c>
      <c r="D57">
        <v>10500</v>
      </c>
      <c r="E57">
        <v>0</v>
      </c>
      <c r="F57">
        <v>7</v>
      </c>
    </row>
    <row r="58" spans="1:6" x14ac:dyDescent="0.35">
      <c r="A58" t="s">
        <v>26</v>
      </c>
      <c r="B58" t="s">
        <v>27</v>
      </c>
      <c r="C58" t="s">
        <v>28</v>
      </c>
      <c r="D58">
        <v>0</v>
      </c>
      <c r="E58">
        <v>50000</v>
      </c>
      <c r="F58">
        <v>1</v>
      </c>
    </row>
    <row r="59" spans="1:6" x14ac:dyDescent="0.35">
      <c r="A59" t="s">
        <v>26</v>
      </c>
      <c r="B59" t="s">
        <v>27</v>
      </c>
      <c r="C59" t="s">
        <v>28</v>
      </c>
      <c r="D59">
        <v>0</v>
      </c>
      <c r="E59">
        <v>50000</v>
      </c>
      <c r="F59">
        <v>2</v>
      </c>
    </row>
    <row r="60" spans="1:6" x14ac:dyDescent="0.35">
      <c r="A60" t="s">
        <v>26</v>
      </c>
      <c r="B60" t="s">
        <v>27</v>
      </c>
      <c r="C60" t="s">
        <v>28</v>
      </c>
      <c r="D60">
        <v>0</v>
      </c>
      <c r="E60">
        <v>50000</v>
      </c>
      <c r="F60">
        <v>3</v>
      </c>
    </row>
    <row r="61" spans="1:6" x14ac:dyDescent="0.35">
      <c r="A61" t="s">
        <v>26</v>
      </c>
      <c r="B61" t="s">
        <v>27</v>
      </c>
      <c r="C61" t="s">
        <v>28</v>
      </c>
      <c r="D61">
        <v>0</v>
      </c>
      <c r="E61">
        <v>50000</v>
      </c>
      <c r="F61">
        <v>4</v>
      </c>
    </row>
    <row r="62" spans="1:6" x14ac:dyDescent="0.35">
      <c r="A62" t="s">
        <v>26</v>
      </c>
      <c r="B62" t="s">
        <v>27</v>
      </c>
      <c r="C62" t="s">
        <v>28</v>
      </c>
      <c r="D62">
        <v>0</v>
      </c>
      <c r="E62">
        <v>50000</v>
      </c>
      <c r="F62">
        <v>5</v>
      </c>
    </row>
    <row r="63" spans="1:6" x14ac:dyDescent="0.35">
      <c r="A63" t="s">
        <v>26</v>
      </c>
      <c r="B63" t="s">
        <v>27</v>
      </c>
      <c r="C63" t="s">
        <v>28</v>
      </c>
      <c r="D63">
        <v>0</v>
      </c>
      <c r="E63">
        <v>50000</v>
      </c>
      <c r="F63">
        <v>6</v>
      </c>
    </row>
    <row r="64" spans="1:6" x14ac:dyDescent="0.35">
      <c r="A64" t="s">
        <v>26</v>
      </c>
      <c r="B64" t="s">
        <v>27</v>
      </c>
      <c r="C64" t="s">
        <v>28</v>
      </c>
      <c r="D64">
        <v>0</v>
      </c>
      <c r="E64">
        <v>50000</v>
      </c>
      <c r="F64">
        <v>7</v>
      </c>
    </row>
    <row r="65" spans="1:5" x14ac:dyDescent="0.35">
      <c r="A65" t="s">
        <v>29</v>
      </c>
      <c r="D65">
        <v>959000</v>
      </c>
      <c r="E65">
        <v>350000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 diop</dc:creator>
  <cp:lastModifiedBy>aida diop</cp:lastModifiedBy>
  <dcterms:created xsi:type="dcterms:W3CDTF">2026-09-01T12:54:13Z</dcterms:created>
  <dcterms:modified xsi:type="dcterms:W3CDTF">2026-09-01T16:44:39Z</dcterms:modified>
</cp:coreProperties>
</file>